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ecnicobari-my.sharepoint.com/personal/n_laterza4_studenti_poliba_it/Documents/- SDBD/- Progetto Big Data/"/>
    </mc:Choice>
  </mc:AlternateContent>
  <xr:revisionPtr revIDLastSave="300" documentId="13_ncr:1_{907027A4-27A3-46EC-9C8F-76017F91E432}" xr6:coauthVersionLast="47" xr6:coauthVersionMax="47" xr10:uidLastSave="{DEF82D7E-6379-4415-9D92-E0209E19A33F}"/>
  <bookViews>
    <workbookView xWindow="-108" yWindow="-108" windowWidth="23256" windowHeight="12456" xr2:uid="{6B1D1AB2-159D-4416-86C3-347C22688DD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F8" i="1"/>
  <c r="F2" i="1"/>
  <c r="F3" i="1"/>
  <c r="F4" i="1"/>
  <c r="F5" i="1"/>
  <c r="F6" i="1"/>
  <c r="F7" i="1"/>
  <c r="F10" i="1"/>
  <c r="F11" i="1"/>
  <c r="E9" i="1"/>
  <c r="F9" i="1" s="1"/>
  <c r="F13" i="1" l="1"/>
</calcChain>
</file>

<file path=xl/sharedStrings.xml><?xml version="1.0" encoding="utf-8"?>
<sst xmlns="http://schemas.openxmlformats.org/spreadsheetml/2006/main" count="46" uniqueCount="40">
  <si>
    <t>Item</t>
  </si>
  <si>
    <t>Price driver</t>
  </si>
  <si>
    <t>Reference</t>
  </si>
  <si>
    <t>Usage amount per month</t>
  </si>
  <si>
    <t>Total price per month</t>
  </si>
  <si>
    <t>Unit price $</t>
  </si>
  <si>
    <t>Average number of events collected per day: 300.000</t>
  </si>
  <si>
    <t>Average size for each event message: 5KB</t>
  </si>
  <si>
    <t>Region: datacenter in Milan (europe-west8)</t>
  </si>
  <si>
    <t>https://cloud.google.com/storage/pricing</t>
  </si>
  <si>
    <t>https://cloud.google.com/dataflow/pricing</t>
  </si>
  <si>
    <t>Cloud Dataflow (Classic, General purpose n1-standard-2 workers in Batch Mode)</t>
  </si>
  <si>
    <t>Cloud Storage [Landing] (Standard storage)</t>
  </si>
  <si>
    <t>https://cloud.google.com/bigquery/pricing</t>
  </si>
  <si>
    <t>Average size per month = 45 GB</t>
  </si>
  <si>
    <t>https://cloud.google.com/functions/pricing-1stgen</t>
  </si>
  <si>
    <t>Cloud Functions (1st gen)</t>
  </si>
  <si>
    <t>https://cloud.google.com/kubernetes-engine/pricing</t>
  </si>
  <si>
    <t>GKE standard edition (n2-standard-2, 3 node pool)</t>
  </si>
  <si>
    <t>Volume (GB)</t>
  </si>
  <si>
    <t>Usage time (h)</t>
  </si>
  <si>
    <t>https://cloud.google.com/sql/pricing</t>
  </si>
  <si>
    <t>Notes:</t>
  </si>
  <si>
    <t>Cloud SQL - instance db-standard-2 (2vCPUs, 7.5GB RAM)</t>
  </si>
  <si>
    <t>Cloud SQL - storage</t>
  </si>
  <si>
    <t>Volume of query data (TB, first 1TB free)</t>
  </si>
  <si>
    <t>Cloud Storage [Lake L0] (Standard storage)</t>
  </si>
  <si>
    <t>BigQuery [Lake L1, L2]</t>
  </si>
  <si>
    <t>Pub/Sub (Basic, 1 subscription)</t>
  </si>
  <si>
    <t>Volume of published/read data (GB)</t>
  </si>
  <si>
    <t>https://cloud.google.com/pubsub/pricing</t>
  </si>
  <si>
    <t>Cloud Scheduler (2 jobs)</t>
  </si>
  <si>
    <t>https://cloud.google.com/scheduler/pricing</t>
  </si>
  <si>
    <t>TOT ($/month):</t>
  </si>
  <si>
    <t>To compute the costs estimation, I used the pricing web pages (reference) and Google Cloud's pricing calculator</t>
  </si>
  <si>
    <t>The price and usage amount are approximate values because I have not considered the specific details of the single components</t>
  </si>
  <si>
    <r>
      <t xml:space="preserve">N. jobs (first 3 jobs </t>
    </r>
    <r>
      <rPr>
        <u/>
        <sz val="11"/>
        <color theme="1"/>
        <rFont val="Aptos Narrow"/>
        <family val="2"/>
        <scheme val="minor"/>
      </rPr>
      <t>free</t>
    </r>
    <r>
      <rPr>
        <sz val="11"/>
        <color theme="1"/>
        <rFont val="Aptos Narrow"/>
        <family val="2"/>
        <scheme val="minor"/>
      </rPr>
      <t>)</t>
    </r>
  </si>
  <si>
    <r>
      <t xml:space="preserve">(2 milion invocations per month in </t>
    </r>
    <r>
      <rPr>
        <u/>
        <sz val="11"/>
        <color theme="1"/>
        <rFont val="Aptos Narrow"/>
        <family val="2"/>
        <scheme val="minor"/>
      </rPr>
      <t>free</t>
    </r>
    <r>
      <rPr>
        <sz val="11"/>
        <color theme="1"/>
        <rFont val="Aptos Narrow"/>
        <family val="2"/>
        <scheme val="minor"/>
      </rPr>
      <t xml:space="preserve"> tier)</t>
    </r>
  </si>
  <si>
    <t>730h=24h*30,4gg</t>
  </si>
  <si>
    <t>The components dimensioning is not necessary the optimal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</si>
</sst>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0" fontId="2" fillId="0" borderId="0" xfId="1" applyAlignment="1">
      <alignment horizontal="fill"/>
    </xf>
  </cellXfs>
  <cellStyles count="2">
    <cellStyle name="Collegamento ipertestuale" xfId="1" builtinId="8"/>
    <cellStyle name="Normale" xfId="0" builtinId="0"/>
  </cellStyles>
  <dxfs count="2">
    <dxf>
      <numFmt numFmtId="2" formatCode="0.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AB1F4-F79C-4844-AC9E-530247B351F1}" name="Tabella1" displayName="Tabella1" ref="A1:F11" totalsRowShown="0">
  <autoFilter ref="A1:F11" xr:uid="{0FCAB1F4-F79C-4844-AC9E-530247B351F1}"/>
  <tableColumns count="6">
    <tableColumn id="1" xr3:uid="{C7B3A0F3-B88F-432B-B671-552C330CF780}" name="Item"/>
    <tableColumn id="2" xr3:uid="{E619990A-8EAC-4345-ABA4-4CC856FE8018}" name="Price driver"/>
    <tableColumn id="3" xr3:uid="{C6F5891A-8DD3-43E4-9721-2F356EB8B9B1}" name="Reference"/>
    <tableColumn id="4" xr3:uid="{660146C6-DCD2-41D5-85E6-1F1102EB47C2}" name="Usage amount per month"/>
    <tableColumn id="5" xr3:uid="{917676FB-5F62-4AE2-B5DB-A42AA6C22419}" name="Unit price $" dataDxfId="1"/>
    <tableColumn id="6" xr3:uid="{BDACECEF-0541-4E44-95AC-63DD265C4A1F}" name="Total price per month" dataDxfId="0">
      <calculatedColumnFormula>Tabella1[[#This Row],[Usage amount per month]]*Tabella1[[#This Row],[Unit price $]]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oud.google.com/sql/pricing" TargetMode="External"/><Relationship Id="rId3" Type="http://schemas.openxmlformats.org/officeDocument/2006/relationships/hyperlink" Target="https://cloud.google.com/storage/pricing" TargetMode="External"/><Relationship Id="rId7" Type="http://schemas.openxmlformats.org/officeDocument/2006/relationships/hyperlink" Target="https://cloud.google.com/sql/pricing" TargetMode="External"/><Relationship Id="rId2" Type="http://schemas.openxmlformats.org/officeDocument/2006/relationships/hyperlink" Target="https://cloud.google.com/dataflow/pricing" TargetMode="External"/><Relationship Id="rId1" Type="http://schemas.openxmlformats.org/officeDocument/2006/relationships/hyperlink" Target="https://cloud.google.com/storage/pricing" TargetMode="External"/><Relationship Id="rId6" Type="http://schemas.openxmlformats.org/officeDocument/2006/relationships/hyperlink" Target="https://cloud.google.com/kubernetes-engine/pricing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cloud.google.com/functions/pricing-1stgen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cloud.google.com/bigquery/pricing" TargetMode="External"/><Relationship Id="rId9" Type="http://schemas.openxmlformats.org/officeDocument/2006/relationships/hyperlink" Target="https://cloud.google.com/pubsub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6FB6-4A02-44AF-8C2A-88CAEA81C009}">
  <dimension ref="A1:H24"/>
  <sheetViews>
    <sheetView tabSelected="1" zoomScaleNormal="100" workbookViewId="0">
      <selection activeCell="A4" sqref="A4"/>
    </sheetView>
  </sheetViews>
  <sheetFormatPr defaultRowHeight="14.4" x14ac:dyDescent="0.3"/>
  <cols>
    <col min="1" max="1" width="65.109375" customWidth="1"/>
    <col min="2" max="2" width="35" customWidth="1"/>
    <col min="3" max="3" width="43.21875" customWidth="1"/>
    <col min="4" max="4" width="23.21875" customWidth="1"/>
    <col min="5" max="5" width="13.109375" customWidth="1"/>
    <col min="6" max="6" width="20.77734375" customWidth="1"/>
    <col min="7" max="7" width="2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8" x14ac:dyDescent="0.3">
      <c r="A2" t="s">
        <v>28</v>
      </c>
      <c r="B2" t="s">
        <v>29</v>
      </c>
      <c r="C2" s="2" t="s">
        <v>30</v>
      </c>
      <c r="D2">
        <v>45</v>
      </c>
      <c r="E2" s="6">
        <v>6.1777777999999998E-2</v>
      </c>
      <c r="F2" s="4">
        <f>Tabella1[[#This Row],[Usage amount per month]]*Tabella1[[#This Row],[Unit price $]]</f>
        <v>2.7800000099999997</v>
      </c>
    </row>
    <row r="3" spans="1:8" x14ac:dyDescent="0.3">
      <c r="A3" t="s">
        <v>12</v>
      </c>
      <c r="B3" t="s">
        <v>19</v>
      </c>
      <c r="C3" s="2" t="s">
        <v>9</v>
      </c>
      <c r="D3">
        <v>45</v>
      </c>
      <c r="E3" s="6">
        <v>2.3E-2</v>
      </c>
      <c r="F3" s="4">
        <f>Tabella1[[#This Row],[Usage amount per month]]*Tabella1[[#This Row],[Unit price $]]</f>
        <v>1.0349999999999999</v>
      </c>
      <c r="H3" s="1"/>
    </row>
    <row r="4" spans="1:8" x14ac:dyDescent="0.3">
      <c r="A4" t="s">
        <v>11</v>
      </c>
      <c r="B4" t="s">
        <v>20</v>
      </c>
      <c r="C4" s="2" t="s">
        <v>10</v>
      </c>
      <c r="D4">
        <v>730</v>
      </c>
      <c r="E4" s="6">
        <v>0.14741095900000001</v>
      </c>
      <c r="F4" s="4">
        <f>Tabella1[[#This Row],[Usage amount per month]]*Tabella1[[#This Row],[Unit price $]]</f>
        <v>107.61000007000001</v>
      </c>
    </row>
    <row r="5" spans="1:8" x14ac:dyDescent="0.3">
      <c r="A5" t="s">
        <v>31</v>
      </c>
      <c r="B5" t="s">
        <v>36</v>
      </c>
      <c r="C5" s="7" t="s">
        <v>32</v>
      </c>
      <c r="E5" s="6"/>
      <c r="F5" s="4">
        <f>Tabella1[[#This Row],[Usage amount per month]]*Tabella1[[#This Row],[Unit price $]]</f>
        <v>0</v>
      </c>
    </row>
    <row r="6" spans="1:8" x14ac:dyDescent="0.3">
      <c r="A6" t="s">
        <v>26</v>
      </c>
      <c r="B6" t="s">
        <v>19</v>
      </c>
      <c r="C6" s="2" t="s">
        <v>9</v>
      </c>
      <c r="D6">
        <v>45</v>
      </c>
      <c r="E6" s="6">
        <v>2.3E-2</v>
      </c>
      <c r="F6" s="4">
        <f>Tabella1[[#This Row],[Usage amount per month]]*Tabella1[[#This Row],[Unit price $]]</f>
        <v>1.0349999999999999</v>
      </c>
    </row>
    <row r="7" spans="1:8" x14ac:dyDescent="0.3">
      <c r="A7" t="s">
        <v>27</v>
      </c>
      <c r="B7" t="s">
        <v>25</v>
      </c>
      <c r="C7" s="2" t="s">
        <v>13</v>
      </c>
      <c r="D7">
        <v>5</v>
      </c>
      <c r="E7" s="6">
        <v>7.81</v>
      </c>
      <c r="F7" s="4">
        <f>4*Tabella1[[#This Row],[Unit price $]]</f>
        <v>31.24</v>
      </c>
    </row>
    <row r="8" spans="1:8" x14ac:dyDescent="0.3">
      <c r="A8" t="s">
        <v>18</v>
      </c>
      <c r="B8" t="s">
        <v>20</v>
      </c>
      <c r="C8" s="2" t="s">
        <v>17</v>
      </c>
      <c r="D8">
        <v>730</v>
      </c>
      <c r="E8" s="6">
        <v>0.43891780800000002</v>
      </c>
      <c r="F8" s="4">
        <f>Tabella1[[#This Row],[Usage amount per month]]*Tabella1[[#This Row],[Unit price $]]</f>
        <v>320.40999984000001</v>
      </c>
    </row>
    <row r="9" spans="1:8" x14ac:dyDescent="0.3">
      <c r="A9" t="s">
        <v>23</v>
      </c>
      <c r="B9" t="s">
        <v>20</v>
      </c>
      <c r="C9" s="2" t="s">
        <v>21</v>
      </c>
      <c r="D9">
        <v>730</v>
      </c>
      <c r="E9" s="6">
        <f>(0.0479*2)  +  ( 0.0081* 7.5 )</f>
        <v>0.15654999999999999</v>
      </c>
      <c r="F9" s="4">
        <f>Tabella1[[#This Row],[Usage amount per month]]*Tabella1[[#This Row],[Unit price $]]</f>
        <v>114.28149999999999</v>
      </c>
    </row>
    <row r="10" spans="1:8" x14ac:dyDescent="0.3">
      <c r="A10" t="s">
        <v>24</v>
      </c>
      <c r="B10" t="s">
        <v>19</v>
      </c>
      <c r="C10" s="2" t="s">
        <v>21</v>
      </c>
      <c r="D10">
        <v>30</v>
      </c>
      <c r="E10" s="6">
        <v>0.19700000000000001</v>
      </c>
      <c r="F10" s="4">
        <f>Tabella1[[#This Row],[Usage amount per month]]*Tabella1[[#This Row],[Unit price $]]</f>
        <v>5.91</v>
      </c>
    </row>
    <row r="11" spans="1:8" x14ac:dyDescent="0.3">
      <c r="A11" t="s">
        <v>16</v>
      </c>
      <c r="B11" t="s">
        <v>37</v>
      </c>
      <c r="C11" s="7" t="s">
        <v>15</v>
      </c>
      <c r="E11" s="6"/>
      <c r="F11" s="4">
        <f>Tabella1[[#This Row],[Usage amount per month]]*Tabella1[[#This Row],[Unit price $]]</f>
        <v>0</v>
      </c>
    </row>
    <row r="12" spans="1:8" x14ac:dyDescent="0.3">
      <c r="F12" s="4"/>
    </row>
    <row r="13" spans="1:8" x14ac:dyDescent="0.3">
      <c r="E13" s="1" t="s">
        <v>33</v>
      </c>
      <c r="F13" s="5">
        <f>SUM(Tabella1[Total price per month])</f>
        <v>584.30149992000008</v>
      </c>
    </row>
    <row r="15" spans="1:8" x14ac:dyDescent="0.3">
      <c r="A15" t="s">
        <v>8</v>
      </c>
    </row>
    <row r="16" spans="1:8" x14ac:dyDescent="0.3">
      <c r="A16" t="s">
        <v>6</v>
      </c>
    </row>
    <row r="17" spans="1:3" x14ac:dyDescent="0.3">
      <c r="A17" s="3" t="s">
        <v>7</v>
      </c>
      <c r="C17" s="6"/>
    </row>
    <row r="18" spans="1:3" x14ac:dyDescent="0.3">
      <c r="A18" t="s">
        <v>14</v>
      </c>
      <c r="B18">
        <f>(300000*5*30) / 1000000</f>
        <v>45</v>
      </c>
    </row>
    <row r="20" spans="1:3" x14ac:dyDescent="0.3">
      <c r="A20" s="1" t="s">
        <v>22</v>
      </c>
    </row>
    <row r="21" spans="1:3" x14ac:dyDescent="0.3">
      <c r="A21" t="s">
        <v>34</v>
      </c>
    </row>
    <row r="22" spans="1:3" x14ac:dyDescent="0.3">
      <c r="A22" t="s">
        <v>35</v>
      </c>
    </row>
    <row r="23" spans="1:3" x14ac:dyDescent="0.3">
      <c r="A23" t="s">
        <v>39</v>
      </c>
    </row>
    <row r="24" spans="1:3" x14ac:dyDescent="0.3">
      <c r="A24" t="s">
        <v>38</v>
      </c>
    </row>
  </sheetData>
  <hyperlinks>
    <hyperlink ref="C3" r:id="rId1" xr:uid="{696B27E1-07B4-472C-9C45-E42F6DB070D3}"/>
    <hyperlink ref="C4" r:id="rId2" xr:uid="{589DEADA-BA94-435B-BE7E-6D25464AA9CA}"/>
    <hyperlink ref="C6" r:id="rId3" xr:uid="{14805153-B53B-4F04-8DB3-A459F3D863EC}"/>
    <hyperlink ref="C7" r:id="rId4" xr:uid="{58B0CF0F-0891-48D2-AF4F-0A23E7B8EC37}"/>
    <hyperlink ref="C11" r:id="rId5" xr:uid="{84B44116-F588-4D97-B2E4-182DB7594990}"/>
    <hyperlink ref="C8" r:id="rId6" xr:uid="{DBFAB030-40B8-4724-B08F-21E5DB2F4B64}"/>
    <hyperlink ref="C9" r:id="rId7" xr:uid="{BDBA1B58-D783-451C-A111-F29DF873B662}"/>
    <hyperlink ref="C10" r:id="rId8" xr:uid="{2DA65EA7-3EE4-4C08-AF12-AF5C7550A7A4}"/>
    <hyperlink ref="C2" r:id="rId9" xr:uid="{C3684F16-093E-495E-87DA-E4D3316E0104}"/>
  </hyperlinks>
  <pageMargins left="0.7" right="0.7" top="0.75" bottom="0.75" header="0.3" footer="0.3"/>
  <pageSetup paperSize="9" orientation="portrait" r:id="rId10"/>
  <ignoredErrors>
    <ignoredError sqref="F7" calculatedColumn="1"/>
  </ignoredErrors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LATERZA NICOLA</dc:creator>
  <cp:lastModifiedBy>LATERZA NICOLA</cp:lastModifiedBy>
  <dcterms:created xsi:type="dcterms:W3CDTF">2024-08-22T14:23:27Z</dcterms:created>
  <dcterms:modified xsi:type="dcterms:W3CDTF">2024-09-29T10:25:07Z</dcterms:modified>
</cp:coreProperties>
</file>